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12" windowWidth="19200" windowHeight="11868" activeTab="6"/>
  </bookViews>
  <sheets>
    <sheet name="2512" sheetId="2" r:id="rId1"/>
    <sheet name="2601" sheetId="1" r:id="rId2"/>
    <sheet name="2602" sheetId="3" r:id="rId3"/>
    <sheet name="2603" sheetId="4" r:id="rId4"/>
    <sheet name="2604" sheetId="5" r:id="rId5"/>
    <sheet name="2605" sheetId="6" r:id="rId6"/>
    <sheet name="2606" sheetId="8" r:id="rId7"/>
    <sheet name="2607" sheetId="9" r:id="rId8"/>
  </sheets>
  <calcPr calcId="125725"/>
</workbook>
</file>

<file path=xl/calcChain.xml><?xml version="1.0" encoding="utf-8"?>
<calcChain xmlns="http://schemas.openxmlformats.org/spreadsheetml/2006/main">
  <c r="E17" i="3"/>
  <c r="F17"/>
  <c r="D17"/>
  <c r="B17"/>
  <c r="F4" i="9"/>
  <c r="F5"/>
  <c r="D4"/>
  <c r="D5"/>
  <c r="E20"/>
  <c r="B20"/>
  <c r="F3"/>
  <c r="D3"/>
  <c r="F18" i="8"/>
  <c r="F19"/>
  <c r="F16"/>
  <c r="D19"/>
  <c r="D18"/>
  <c r="D17"/>
  <c r="F17" s="1"/>
  <c r="D16"/>
  <c r="F15"/>
  <c r="F14"/>
  <c r="F13"/>
  <c r="D15"/>
  <c r="D14"/>
  <c r="D13"/>
  <c r="F12"/>
  <c r="F11"/>
  <c r="D12"/>
  <c r="D11"/>
  <c r="F10"/>
  <c r="D10"/>
  <c r="D9"/>
  <c r="F9" s="1"/>
  <c r="D8"/>
  <c r="F8" s="1"/>
  <c r="F6"/>
  <c r="D6"/>
  <c r="D7"/>
  <c r="F7" s="1"/>
  <c r="D14" i="6"/>
  <c r="F14" s="1"/>
  <c r="D3" i="8"/>
  <c r="F3" s="1"/>
  <c r="D13" i="6"/>
  <c r="F13" s="1"/>
  <c r="D4" i="8"/>
  <c r="F4" s="1"/>
  <c r="D5"/>
  <c r="F5" s="1"/>
  <c r="E20"/>
  <c r="B20"/>
  <c r="E16" i="6"/>
  <c r="D4"/>
  <c r="F4" s="1"/>
  <c r="D5"/>
  <c r="F5" s="1"/>
  <c r="D6"/>
  <c r="F6" s="1"/>
  <c r="D7"/>
  <c r="F7" s="1"/>
  <c r="D8"/>
  <c r="F8" s="1"/>
  <c r="D9"/>
  <c r="F9" s="1"/>
  <c r="D10"/>
  <c r="F10" s="1"/>
  <c r="D11"/>
  <c r="F11" s="1"/>
  <c r="D12"/>
  <c r="F12" s="1"/>
  <c r="D15"/>
  <c r="F15" s="1"/>
  <c r="D3"/>
  <c r="F3" s="1"/>
  <c r="F20" i="5"/>
  <c r="F19"/>
  <c r="D20"/>
  <c r="D19"/>
  <c r="F18"/>
  <c r="D18"/>
  <c r="F17"/>
  <c r="D17"/>
  <c r="F22" i="4"/>
  <c r="D22"/>
  <c r="F21"/>
  <c r="D21"/>
  <c r="F20"/>
  <c r="D20"/>
  <c r="F19"/>
  <c r="D19"/>
  <c r="F18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F3"/>
  <c r="D3"/>
  <c r="D16" i="3"/>
  <c r="F16" s="1"/>
  <c r="F15"/>
  <c r="D15"/>
  <c r="D14"/>
  <c r="F14" s="1"/>
  <c r="F13"/>
  <c r="D13"/>
  <c r="F12"/>
  <c r="D12"/>
  <c r="D11"/>
  <c r="F11" s="1"/>
  <c r="D10"/>
  <c r="F10" s="1"/>
  <c r="D9"/>
  <c r="F9" s="1"/>
  <c r="F8"/>
  <c r="D8"/>
  <c r="D7"/>
  <c r="F7" s="1"/>
  <c r="F6"/>
  <c r="D6"/>
  <c r="F5"/>
  <c r="D5"/>
  <c r="F4"/>
  <c r="D4"/>
  <c r="D3"/>
  <c r="F3" s="1"/>
  <c r="F22" i="1"/>
  <c r="E22"/>
  <c r="D22"/>
  <c r="B22"/>
  <c r="D18"/>
  <c r="F18" s="1"/>
  <c r="D19"/>
  <c r="F19" s="1"/>
  <c r="D20"/>
  <c r="F20" s="1"/>
  <c r="D21"/>
  <c r="F21" s="1"/>
  <c r="D9" i="2"/>
  <c r="F9" s="1"/>
  <c r="F8"/>
  <c r="D8"/>
  <c r="D7"/>
  <c r="F7" s="1"/>
  <c r="F6"/>
  <c r="D6"/>
  <c r="E10"/>
  <c r="F5"/>
  <c r="D5"/>
  <c r="B21" i="5"/>
  <c r="E21"/>
  <c r="F16"/>
  <c r="D16"/>
  <c r="D15"/>
  <c r="F15" s="1"/>
  <c r="D14"/>
  <c r="F14" s="1"/>
  <c r="D13"/>
  <c r="F13" s="1"/>
  <c r="D12"/>
  <c r="F12" s="1"/>
  <c r="D11"/>
  <c r="F11" s="1"/>
  <c r="D3"/>
  <c r="F3" s="1"/>
  <c r="D4"/>
  <c r="F4" s="1"/>
  <c r="D5"/>
  <c r="F5" s="1"/>
  <c r="D6"/>
  <c r="F6" s="1"/>
  <c r="D7"/>
  <c r="F7" s="1"/>
  <c r="D8"/>
  <c r="F8" s="1"/>
  <c r="D9"/>
  <c r="D10"/>
  <c r="F10" s="1"/>
  <c r="E23" i="4"/>
  <c r="B16" i="6"/>
  <c r="B23" i="4"/>
  <c r="D3" i="1"/>
  <c r="F3" s="1"/>
  <c r="B10" i="2"/>
  <c r="D4"/>
  <c r="F4" s="1"/>
  <c r="D3"/>
  <c r="F3" s="1"/>
  <c r="D5" i="1"/>
  <c r="F5" s="1"/>
  <c r="D6"/>
  <c r="F6" s="1"/>
  <c r="D7"/>
  <c r="F7" s="1"/>
  <c r="D8"/>
  <c r="F8" s="1"/>
  <c r="D9"/>
  <c r="F9" s="1"/>
  <c r="D10"/>
  <c r="F10" s="1"/>
  <c r="D11"/>
  <c r="F11" s="1"/>
  <c r="D12"/>
  <c r="F12" s="1"/>
  <c r="D13"/>
  <c r="F13" s="1"/>
  <c r="D14"/>
  <c r="F14" s="1"/>
  <c r="D15"/>
  <c r="F15" s="1"/>
  <c r="D16"/>
  <c r="F16" s="1"/>
  <c r="D17"/>
  <c r="F17" s="1"/>
  <c r="D4"/>
  <c r="F4" s="1"/>
  <c r="D20" i="9" l="1"/>
  <c r="F20"/>
  <c r="F16" i="6"/>
  <c r="D16"/>
  <c r="F20" i="8"/>
  <c r="D20"/>
  <c r="D21" i="5"/>
  <c r="F9"/>
  <c r="F21" s="1"/>
  <c r="F23" i="4"/>
  <c r="D23"/>
  <c r="F10" i="2"/>
  <c r="D10"/>
</calcChain>
</file>

<file path=xl/sharedStrings.xml><?xml version="1.0" encoding="utf-8"?>
<sst xmlns="http://schemas.openxmlformats.org/spreadsheetml/2006/main" count="56" uniqueCount="15">
  <si>
    <t>工時</t>
    <phoneticPr fontId="1" type="noConversion"/>
  </si>
  <si>
    <t>休息</t>
    <phoneticPr fontId="1" type="noConversion"/>
  </si>
  <si>
    <t>日薪</t>
    <phoneticPr fontId="1" type="noConversion"/>
  </si>
  <si>
    <t>上班時間</t>
    <phoneticPr fontId="1" type="noConversion"/>
  </si>
  <si>
    <t>上班日</t>
    <phoneticPr fontId="1" type="noConversion"/>
  </si>
  <si>
    <t>時薪：196</t>
    <phoneticPr fontId="1" type="noConversion"/>
  </si>
  <si>
    <t>時薪：190</t>
    <phoneticPr fontId="1" type="noConversion"/>
  </si>
  <si>
    <t>2026年 1月</t>
    <phoneticPr fontId="1" type="noConversion"/>
  </si>
  <si>
    <t>2025年 12月</t>
    <phoneticPr fontId="1" type="noConversion"/>
  </si>
  <si>
    <t>2026年 2月</t>
    <phoneticPr fontId="1" type="noConversion"/>
  </si>
  <si>
    <t>2026年 3月</t>
    <phoneticPr fontId="1" type="noConversion"/>
  </si>
  <si>
    <t>2026年 4月</t>
    <phoneticPr fontId="1" type="noConversion"/>
  </si>
  <si>
    <t>2026年 5月</t>
    <phoneticPr fontId="1" type="noConversion"/>
  </si>
  <si>
    <t>2026年 6月</t>
    <phoneticPr fontId="1" type="noConversion"/>
  </si>
  <si>
    <t>2026年 7月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</si>
</sst>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0\ &quot;天&quot;"/>
    <numFmt numFmtId="177" formatCode="#,##0_ "/>
  </numFmts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1"/>
  <sheetViews>
    <sheetView workbookViewId="0">
      <selection activeCell="B3" sqref="B3:B9"/>
    </sheetView>
  </sheetViews>
  <sheetFormatPr defaultRowHeight="16.2"/>
  <cols>
    <col min="1" max="1" width="2.77734375" customWidth="1"/>
    <col min="2" max="3" width="13.33203125" customWidth="1"/>
    <col min="4" max="6" width="10" customWidth="1"/>
  </cols>
  <sheetData>
    <row r="1" spans="2:7">
      <c r="B1" s="21" t="s">
        <v>8</v>
      </c>
      <c r="C1" s="21"/>
      <c r="D1" s="21"/>
      <c r="E1" s="21"/>
      <c r="F1" s="21"/>
    </row>
    <row r="2" spans="2:7">
      <c r="B2" s="1" t="s">
        <v>4</v>
      </c>
      <c r="C2" s="1" t="s">
        <v>3</v>
      </c>
      <c r="D2" s="1" t="s">
        <v>0</v>
      </c>
      <c r="E2" s="1" t="s">
        <v>1</v>
      </c>
      <c r="F2" s="1" t="s">
        <v>2</v>
      </c>
    </row>
    <row r="3" spans="2:7">
      <c r="B3" s="2">
        <v>46013</v>
      </c>
      <c r="C3" s="1">
        <v>13</v>
      </c>
      <c r="D3" s="1">
        <f>21-C3</f>
        <v>8</v>
      </c>
      <c r="E3" s="6">
        <v>0.5</v>
      </c>
      <c r="F3" s="8">
        <f>(D3-E3)*190</f>
        <v>1425</v>
      </c>
    </row>
    <row r="4" spans="2:7">
      <c r="B4" s="2">
        <v>46014</v>
      </c>
      <c r="C4" s="1">
        <v>13</v>
      </c>
      <c r="D4" s="1">
        <f t="shared" ref="D4" si="0">21-C4</f>
        <v>8</v>
      </c>
      <c r="E4" s="6">
        <v>0.5</v>
      </c>
      <c r="F4" s="8">
        <f t="shared" ref="F4" si="1">(D4-E4)*190</f>
        <v>1425</v>
      </c>
    </row>
    <row r="5" spans="2:7">
      <c r="B5" s="2">
        <v>46015</v>
      </c>
      <c r="C5" s="13">
        <v>11</v>
      </c>
      <c r="D5" s="13">
        <f t="shared" ref="D5:D9" si="2">21-C5</f>
        <v>10</v>
      </c>
      <c r="E5" s="6">
        <v>1</v>
      </c>
      <c r="F5" s="8">
        <f t="shared" ref="F5" si="3">(D5-E5)*190</f>
        <v>1710</v>
      </c>
    </row>
    <row r="6" spans="2:7">
      <c r="B6" s="2">
        <v>46018</v>
      </c>
      <c r="C6" s="13">
        <v>13</v>
      </c>
      <c r="D6" s="13">
        <f t="shared" si="2"/>
        <v>8</v>
      </c>
      <c r="E6" s="6">
        <v>0.5</v>
      </c>
      <c r="F6" s="8">
        <f>(D6-E6)*190</f>
        <v>1425</v>
      </c>
    </row>
    <row r="7" spans="2:7">
      <c r="B7" s="2">
        <v>46019</v>
      </c>
      <c r="C7" s="13">
        <v>13</v>
      </c>
      <c r="D7" s="13">
        <f t="shared" si="2"/>
        <v>8</v>
      </c>
      <c r="E7" s="6">
        <v>0.5</v>
      </c>
      <c r="F7" s="8">
        <f>(D7-E7)*190</f>
        <v>1425</v>
      </c>
    </row>
    <row r="8" spans="2:7">
      <c r="B8" s="2">
        <v>46021</v>
      </c>
      <c r="C8" s="13">
        <v>13</v>
      </c>
      <c r="D8" s="13">
        <f t="shared" si="2"/>
        <v>8</v>
      </c>
      <c r="E8" s="6">
        <v>0.5</v>
      </c>
      <c r="F8" s="8">
        <f>(D8-E8)*190</f>
        <v>1425</v>
      </c>
    </row>
    <row r="9" spans="2:7">
      <c r="B9" s="2">
        <v>46022</v>
      </c>
      <c r="C9" s="13">
        <v>11</v>
      </c>
      <c r="D9" s="13">
        <f t="shared" si="2"/>
        <v>10</v>
      </c>
      <c r="E9" s="6">
        <v>1</v>
      </c>
      <c r="F9" s="8">
        <f>(D9-E9)*190</f>
        <v>1710</v>
      </c>
    </row>
    <row r="10" spans="2:7">
      <c r="B10" s="4">
        <f>COUNT(B3:B9)</f>
        <v>7</v>
      </c>
      <c r="C10" s="3" t="s">
        <v>6</v>
      </c>
      <c r="D10" s="1">
        <f>SUM(D3:D9)</f>
        <v>60</v>
      </c>
      <c r="E10" s="5">
        <f>SUM(E3:E9)</f>
        <v>4.5</v>
      </c>
      <c r="F10" s="8">
        <f>SUM(F3:F9)</f>
        <v>10545</v>
      </c>
    </row>
    <row r="11" spans="2:7">
      <c r="F11" s="8"/>
      <c r="G11" s="8"/>
    </row>
  </sheetData>
  <mergeCells count="1">
    <mergeCell ref="B1:F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G23"/>
  <sheetViews>
    <sheetView workbookViewId="0">
      <selection activeCell="F22" sqref="F22"/>
    </sheetView>
  </sheetViews>
  <sheetFormatPr defaultRowHeight="16.2"/>
  <cols>
    <col min="1" max="1" width="2.77734375" customWidth="1"/>
    <col min="2" max="3" width="13.33203125" customWidth="1"/>
    <col min="4" max="6" width="10" customWidth="1"/>
  </cols>
  <sheetData>
    <row r="1" spans="2:6">
      <c r="B1" s="21" t="s">
        <v>7</v>
      </c>
      <c r="C1" s="21"/>
      <c r="D1" s="21"/>
      <c r="E1" s="21"/>
      <c r="F1" s="21"/>
    </row>
    <row r="2" spans="2:6">
      <c r="B2" s="1" t="s">
        <v>4</v>
      </c>
      <c r="C2" s="1" t="s">
        <v>3</v>
      </c>
      <c r="D2" s="1" t="s">
        <v>0</v>
      </c>
      <c r="E2" s="1" t="s">
        <v>1</v>
      </c>
      <c r="F2" s="1" t="s">
        <v>2</v>
      </c>
    </row>
    <row r="3" spans="2:6">
      <c r="B3" s="2">
        <v>46025</v>
      </c>
      <c r="C3" s="1">
        <v>13</v>
      </c>
      <c r="D3" s="1">
        <f>21-C3</f>
        <v>8</v>
      </c>
      <c r="E3" s="6">
        <v>0.5</v>
      </c>
      <c r="F3" s="8">
        <f>(D3-E3)*196</f>
        <v>1470</v>
      </c>
    </row>
    <row r="4" spans="2:6">
      <c r="B4" s="2">
        <v>46027</v>
      </c>
      <c r="C4" s="1">
        <v>13</v>
      </c>
      <c r="D4" s="1">
        <f>21-C4</f>
        <v>8</v>
      </c>
      <c r="E4" s="6">
        <v>0.5</v>
      </c>
      <c r="F4" s="8">
        <f>(D4-E4)*196</f>
        <v>1470</v>
      </c>
    </row>
    <row r="5" spans="2:6">
      <c r="B5" s="2">
        <v>46028</v>
      </c>
      <c r="C5" s="1">
        <v>13</v>
      </c>
      <c r="D5" s="1">
        <f t="shared" ref="D5:D17" si="0">21-C5</f>
        <v>8</v>
      </c>
      <c r="E5" s="6">
        <v>0.5</v>
      </c>
      <c r="F5" s="8">
        <f t="shared" ref="F5:F17" si="1">(D5-E5)*196</f>
        <v>1470</v>
      </c>
    </row>
    <row r="6" spans="2:6">
      <c r="B6" s="2">
        <v>46029</v>
      </c>
      <c r="C6" s="1">
        <v>16</v>
      </c>
      <c r="D6" s="1">
        <f t="shared" si="0"/>
        <v>5</v>
      </c>
      <c r="E6" s="6">
        <v>0.5</v>
      </c>
      <c r="F6" s="8">
        <f t="shared" si="1"/>
        <v>882</v>
      </c>
    </row>
    <row r="7" spans="2:6">
      <c r="B7" s="2">
        <v>46030</v>
      </c>
      <c r="C7" s="1">
        <v>16</v>
      </c>
      <c r="D7" s="1">
        <f t="shared" si="0"/>
        <v>5</v>
      </c>
      <c r="E7" s="6">
        <v>0.5</v>
      </c>
      <c r="F7" s="8">
        <f t="shared" si="1"/>
        <v>882</v>
      </c>
    </row>
    <row r="8" spans="2:6">
      <c r="B8" s="2">
        <v>46034</v>
      </c>
      <c r="C8" s="1">
        <v>11</v>
      </c>
      <c r="D8" s="1">
        <f t="shared" si="0"/>
        <v>10</v>
      </c>
      <c r="E8" s="6">
        <v>1</v>
      </c>
      <c r="F8" s="8">
        <f t="shared" si="1"/>
        <v>1764</v>
      </c>
    </row>
    <row r="9" spans="2:6">
      <c r="B9" s="2">
        <v>46035</v>
      </c>
      <c r="C9" s="1">
        <v>16</v>
      </c>
      <c r="D9" s="1">
        <f t="shared" si="0"/>
        <v>5</v>
      </c>
      <c r="E9" s="6">
        <v>0.5</v>
      </c>
      <c r="F9" s="8">
        <f t="shared" si="1"/>
        <v>882</v>
      </c>
    </row>
    <row r="10" spans="2:6">
      <c r="B10" s="2">
        <v>46036</v>
      </c>
      <c r="C10" s="1">
        <v>11</v>
      </c>
      <c r="D10" s="1">
        <f t="shared" si="0"/>
        <v>10</v>
      </c>
      <c r="E10" s="6">
        <v>1</v>
      </c>
      <c r="F10" s="8">
        <f t="shared" si="1"/>
        <v>1764</v>
      </c>
    </row>
    <row r="11" spans="2:6">
      <c r="B11" s="2">
        <v>46037</v>
      </c>
      <c r="C11" s="1">
        <v>16</v>
      </c>
      <c r="D11" s="1">
        <f t="shared" si="0"/>
        <v>5</v>
      </c>
      <c r="E11" s="6">
        <v>0.5</v>
      </c>
      <c r="F11" s="8">
        <f t="shared" si="1"/>
        <v>882</v>
      </c>
    </row>
    <row r="12" spans="2:6">
      <c r="B12" s="2">
        <v>46039</v>
      </c>
      <c r="C12" s="1">
        <v>13</v>
      </c>
      <c r="D12" s="1">
        <f t="shared" si="0"/>
        <v>8</v>
      </c>
      <c r="E12" s="6">
        <v>0.5</v>
      </c>
      <c r="F12" s="8">
        <f t="shared" si="1"/>
        <v>1470</v>
      </c>
    </row>
    <row r="13" spans="2:6">
      <c r="B13" s="2">
        <v>46040</v>
      </c>
      <c r="C13" s="1">
        <v>11</v>
      </c>
      <c r="D13" s="1">
        <f t="shared" si="0"/>
        <v>10</v>
      </c>
      <c r="E13" s="6">
        <v>1</v>
      </c>
      <c r="F13" s="8">
        <f t="shared" si="1"/>
        <v>1764</v>
      </c>
    </row>
    <row r="14" spans="2:6">
      <c r="B14" s="2">
        <v>46041</v>
      </c>
      <c r="C14" s="1">
        <v>16</v>
      </c>
      <c r="D14" s="1">
        <f t="shared" si="0"/>
        <v>5</v>
      </c>
      <c r="E14" s="6">
        <v>0.5</v>
      </c>
      <c r="F14" s="8">
        <f t="shared" si="1"/>
        <v>882</v>
      </c>
    </row>
    <row r="15" spans="2:6">
      <c r="B15" s="2">
        <v>46043</v>
      </c>
      <c r="C15" s="1">
        <v>16</v>
      </c>
      <c r="D15" s="1">
        <f t="shared" si="0"/>
        <v>5</v>
      </c>
      <c r="E15" s="6">
        <v>0.5</v>
      </c>
      <c r="F15" s="8">
        <f t="shared" si="1"/>
        <v>882</v>
      </c>
    </row>
    <row r="16" spans="2:6">
      <c r="B16" s="2">
        <v>46044</v>
      </c>
      <c r="C16" s="1">
        <v>11</v>
      </c>
      <c r="D16" s="1">
        <f t="shared" si="0"/>
        <v>10</v>
      </c>
      <c r="E16" s="6">
        <v>1</v>
      </c>
      <c r="F16" s="8">
        <f t="shared" si="1"/>
        <v>1764</v>
      </c>
    </row>
    <row r="17" spans="2:7">
      <c r="B17" s="2">
        <v>46047</v>
      </c>
      <c r="C17" s="1">
        <v>13</v>
      </c>
      <c r="D17" s="1">
        <f t="shared" si="0"/>
        <v>8</v>
      </c>
      <c r="E17" s="6">
        <v>0.5</v>
      </c>
      <c r="F17" s="8">
        <f t="shared" si="1"/>
        <v>1470</v>
      </c>
    </row>
    <row r="18" spans="2:7">
      <c r="B18" s="2">
        <v>46048</v>
      </c>
      <c r="C18" s="1">
        <v>11</v>
      </c>
      <c r="D18" s="1">
        <f>21-C18</f>
        <v>10</v>
      </c>
      <c r="E18" s="6">
        <v>1</v>
      </c>
      <c r="F18" s="8">
        <f>(D18-E18)*196</f>
        <v>1764</v>
      </c>
    </row>
    <row r="19" spans="2:7">
      <c r="B19" s="2">
        <v>46050</v>
      </c>
      <c r="C19" s="1">
        <v>11</v>
      </c>
      <c r="D19" s="1">
        <f>21-C19</f>
        <v>10</v>
      </c>
      <c r="E19" s="6">
        <v>1</v>
      </c>
      <c r="F19" s="8">
        <f>(D19-E19)*196</f>
        <v>1764</v>
      </c>
    </row>
    <row r="20" spans="2:7">
      <c r="B20" s="2">
        <v>46051</v>
      </c>
      <c r="C20" s="1">
        <v>11</v>
      </c>
      <c r="D20" s="1">
        <f>21-C20</f>
        <v>10</v>
      </c>
      <c r="E20" s="6">
        <v>1</v>
      </c>
      <c r="F20" s="8">
        <f>(D20-E20)*196</f>
        <v>1764</v>
      </c>
    </row>
    <row r="21" spans="2:7">
      <c r="B21" s="2">
        <v>46053</v>
      </c>
      <c r="C21" s="1">
        <v>11</v>
      </c>
      <c r="D21" s="1">
        <f>21-C21</f>
        <v>10</v>
      </c>
      <c r="E21" s="6">
        <v>1</v>
      </c>
      <c r="F21" s="8">
        <f>(D21-E21)*196</f>
        <v>1764</v>
      </c>
    </row>
    <row r="22" spans="2:7">
      <c r="B22" s="4">
        <f>COUNT(B3:B21)</f>
        <v>19</v>
      </c>
      <c r="C22" s="3" t="s">
        <v>5</v>
      </c>
      <c r="D22" s="1">
        <f>SUM(D3:D21)</f>
        <v>150</v>
      </c>
      <c r="E22" s="1">
        <f>SUM(E3:E21)</f>
        <v>13.5</v>
      </c>
      <c r="F22" s="8">
        <f>SUM(F3:F21)</f>
        <v>26754</v>
      </c>
    </row>
    <row r="23" spans="2:7">
      <c r="F23" s="8"/>
      <c r="G23" s="8"/>
    </row>
  </sheetData>
  <mergeCells count="1">
    <mergeCell ref="B1:F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G18"/>
  <sheetViews>
    <sheetView workbookViewId="0">
      <selection activeCell="F17" sqref="F17"/>
    </sheetView>
  </sheetViews>
  <sheetFormatPr defaultRowHeight="16.2"/>
  <cols>
    <col min="1" max="1" width="2.77734375" customWidth="1"/>
    <col min="2" max="3" width="13.33203125" customWidth="1"/>
    <col min="4" max="6" width="10" customWidth="1"/>
  </cols>
  <sheetData>
    <row r="1" spans="2:6">
      <c r="B1" s="21" t="s">
        <v>9</v>
      </c>
      <c r="C1" s="21"/>
      <c r="D1" s="21"/>
      <c r="E1" s="21"/>
      <c r="F1" s="21"/>
    </row>
    <row r="2" spans="2:6">
      <c r="B2" s="1" t="s">
        <v>4</v>
      </c>
      <c r="C2" s="1" t="s">
        <v>3</v>
      </c>
      <c r="D2" s="1" t="s">
        <v>0</v>
      </c>
      <c r="E2" s="1" t="s">
        <v>1</v>
      </c>
      <c r="F2" s="1" t="s">
        <v>2</v>
      </c>
    </row>
    <row r="3" spans="2:6">
      <c r="B3" s="2">
        <v>46054</v>
      </c>
      <c r="C3" s="13">
        <v>11</v>
      </c>
      <c r="D3" s="13">
        <f>21-C3</f>
        <v>10</v>
      </c>
      <c r="E3" s="6">
        <v>1</v>
      </c>
      <c r="F3" s="8">
        <f t="shared" ref="F3:F15" si="0">(D3-E3)*196</f>
        <v>1764</v>
      </c>
    </row>
    <row r="4" spans="2:6">
      <c r="B4" s="2">
        <v>46055</v>
      </c>
      <c r="C4" s="13">
        <v>13</v>
      </c>
      <c r="D4" s="13">
        <f>21-C4</f>
        <v>8</v>
      </c>
      <c r="E4" s="6">
        <v>0.5</v>
      </c>
      <c r="F4" s="8">
        <f t="shared" si="0"/>
        <v>1470</v>
      </c>
    </row>
    <row r="5" spans="2:6">
      <c r="B5" s="2">
        <v>46058</v>
      </c>
      <c r="C5" s="13">
        <v>11</v>
      </c>
      <c r="D5" s="13">
        <f t="shared" ref="D5:D16" si="1">21-C5</f>
        <v>10</v>
      </c>
      <c r="E5" s="6">
        <v>1</v>
      </c>
      <c r="F5" s="8">
        <f t="shared" si="0"/>
        <v>1764</v>
      </c>
    </row>
    <row r="6" spans="2:6">
      <c r="B6" s="2">
        <v>46059</v>
      </c>
      <c r="C6" s="13">
        <v>13</v>
      </c>
      <c r="D6" s="13">
        <f t="shared" si="1"/>
        <v>8</v>
      </c>
      <c r="E6" s="6">
        <v>0.5</v>
      </c>
      <c r="F6" s="8">
        <f t="shared" si="0"/>
        <v>1470</v>
      </c>
    </row>
    <row r="7" spans="2:6">
      <c r="B7" s="2">
        <v>46060</v>
      </c>
      <c r="C7" s="13">
        <v>13</v>
      </c>
      <c r="D7" s="13">
        <f t="shared" si="1"/>
        <v>8</v>
      </c>
      <c r="E7" s="6">
        <v>0.5</v>
      </c>
      <c r="F7" s="8">
        <f t="shared" si="0"/>
        <v>1470</v>
      </c>
    </row>
    <row r="8" spans="2:6">
      <c r="B8" s="2">
        <v>46062</v>
      </c>
      <c r="C8" s="13">
        <v>11</v>
      </c>
      <c r="D8" s="13">
        <f t="shared" si="1"/>
        <v>10</v>
      </c>
      <c r="E8" s="6">
        <v>1</v>
      </c>
      <c r="F8" s="8">
        <f t="shared" si="0"/>
        <v>1764</v>
      </c>
    </row>
    <row r="9" spans="2:6">
      <c r="B9" s="2">
        <v>46063</v>
      </c>
      <c r="C9" s="13">
        <v>11</v>
      </c>
      <c r="D9" s="13">
        <f t="shared" si="1"/>
        <v>10</v>
      </c>
      <c r="E9" s="6">
        <v>1</v>
      </c>
      <c r="F9" s="8">
        <f t="shared" si="0"/>
        <v>1764</v>
      </c>
    </row>
    <row r="10" spans="2:6">
      <c r="B10" s="2">
        <v>46064</v>
      </c>
      <c r="C10" s="13">
        <v>13</v>
      </c>
      <c r="D10" s="13">
        <f t="shared" si="1"/>
        <v>8</v>
      </c>
      <c r="E10" s="6">
        <v>0.5</v>
      </c>
      <c r="F10" s="8">
        <f t="shared" si="0"/>
        <v>1470</v>
      </c>
    </row>
    <row r="11" spans="2:6">
      <c r="B11" s="2">
        <v>46066</v>
      </c>
      <c r="C11" s="13">
        <v>11</v>
      </c>
      <c r="D11" s="13">
        <f t="shared" si="1"/>
        <v>10</v>
      </c>
      <c r="E11" s="6">
        <v>1</v>
      </c>
      <c r="F11" s="8">
        <f t="shared" si="0"/>
        <v>1764</v>
      </c>
    </row>
    <row r="12" spans="2:6">
      <c r="B12" s="2">
        <v>46067</v>
      </c>
      <c r="C12" s="13">
        <v>11</v>
      </c>
      <c r="D12" s="13">
        <f t="shared" si="1"/>
        <v>10</v>
      </c>
      <c r="E12" s="6">
        <v>1</v>
      </c>
      <c r="F12" s="8">
        <f t="shared" si="0"/>
        <v>1764</v>
      </c>
    </row>
    <row r="13" spans="2:6">
      <c r="B13" s="2">
        <v>46075</v>
      </c>
      <c r="C13" s="13">
        <v>11</v>
      </c>
      <c r="D13" s="13">
        <f t="shared" si="1"/>
        <v>10</v>
      </c>
      <c r="E13" s="6">
        <v>1</v>
      </c>
      <c r="F13" s="8">
        <f t="shared" si="0"/>
        <v>1764</v>
      </c>
    </row>
    <row r="14" spans="2:6">
      <c r="B14" s="2">
        <v>46078</v>
      </c>
      <c r="C14" s="13">
        <v>11</v>
      </c>
      <c r="D14" s="13">
        <f t="shared" si="1"/>
        <v>10</v>
      </c>
      <c r="E14" s="6">
        <v>1</v>
      </c>
      <c r="F14" s="8">
        <f t="shared" si="0"/>
        <v>1764</v>
      </c>
    </row>
    <row r="15" spans="2:6">
      <c r="B15" s="2">
        <v>46079</v>
      </c>
      <c r="C15" s="13">
        <v>11</v>
      </c>
      <c r="D15" s="13">
        <f t="shared" si="1"/>
        <v>10</v>
      </c>
      <c r="E15" s="6">
        <v>1</v>
      </c>
      <c r="F15" s="8">
        <f t="shared" si="0"/>
        <v>1764</v>
      </c>
    </row>
    <row r="16" spans="2:6">
      <c r="B16" s="2">
        <v>46080</v>
      </c>
      <c r="C16" s="13">
        <v>11</v>
      </c>
      <c r="D16" s="13">
        <f t="shared" si="1"/>
        <v>10</v>
      </c>
      <c r="E16" s="6">
        <v>1</v>
      </c>
      <c r="F16" s="8">
        <f>(D16-E16)*196</f>
        <v>1764</v>
      </c>
    </row>
    <row r="17" spans="2:7">
      <c r="B17" s="4">
        <f>COUNT(B3:B16)</f>
        <v>14</v>
      </c>
      <c r="C17" s="3" t="s">
        <v>5</v>
      </c>
      <c r="D17" s="1">
        <f>SUM(D3:D16)</f>
        <v>132</v>
      </c>
      <c r="E17" s="20">
        <f t="shared" ref="E17:F17" si="2">SUM(E3:E16)</f>
        <v>12</v>
      </c>
      <c r="F17" s="8">
        <f t="shared" si="2"/>
        <v>23520</v>
      </c>
    </row>
    <row r="18" spans="2:7">
      <c r="F18" s="8"/>
      <c r="G18" s="8"/>
    </row>
  </sheetData>
  <mergeCells count="1">
    <mergeCell ref="B1:F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F23"/>
  <sheetViews>
    <sheetView workbookViewId="0">
      <selection activeCell="F23" sqref="F23"/>
    </sheetView>
  </sheetViews>
  <sheetFormatPr defaultRowHeight="16.2"/>
  <cols>
    <col min="1" max="1" width="2.77734375" customWidth="1"/>
    <col min="2" max="3" width="13.33203125" customWidth="1"/>
    <col min="4" max="6" width="10" customWidth="1"/>
  </cols>
  <sheetData>
    <row r="1" spans="2:6">
      <c r="B1" s="21" t="s">
        <v>10</v>
      </c>
      <c r="C1" s="21"/>
      <c r="D1" s="21"/>
      <c r="E1" s="21"/>
      <c r="F1" s="21"/>
    </row>
    <row r="2" spans="2:6">
      <c r="B2" s="7" t="s">
        <v>4</v>
      </c>
      <c r="C2" s="7" t="s">
        <v>3</v>
      </c>
      <c r="D2" s="7" t="s">
        <v>0</v>
      </c>
      <c r="E2" s="7" t="s">
        <v>1</v>
      </c>
      <c r="F2" s="7" t="s">
        <v>2</v>
      </c>
    </row>
    <row r="3" spans="2:6">
      <c r="B3" s="2">
        <v>46082</v>
      </c>
      <c r="C3" s="13">
        <v>14</v>
      </c>
      <c r="D3" s="13">
        <f t="shared" ref="D3:D22" si="0">21-C3</f>
        <v>7</v>
      </c>
      <c r="E3" s="6">
        <v>0.5</v>
      </c>
      <c r="F3" s="8">
        <f>(D3-E3)*196</f>
        <v>1274</v>
      </c>
    </row>
    <row r="4" spans="2:6">
      <c r="B4" s="2">
        <v>46084</v>
      </c>
      <c r="C4" s="13">
        <v>11</v>
      </c>
      <c r="D4" s="13">
        <f t="shared" si="0"/>
        <v>10</v>
      </c>
      <c r="E4" s="6">
        <v>1</v>
      </c>
      <c r="F4" s="8">
        <f>(D4-E4)*196</f>
        <v>1764</v>
      </c>
    </row>
    <row r="5" spans="2:6">
      <c r="B5" s="2">
        <v>46085</v>
      </c>
      <c r="C5" s="13">
        <v>17</v>
      </c>
      <c r="D5" s="13">
        <f t="shared" si="0"/>
        <v>4</v>
      </c>
      <c r="E5" s="6">
        <v>0</v>
      </c>
      <c r="F5" s="8">
        <f t="shared" ref="F5:F22" si="1">(D5-E5)*196</f>
        <v>784</v>
      </c>
    </row>
    <row r="6" spans="2:6">
      <c r="B6" s="2">
        <v>46087</v>
      </c>
      <c r="C6" s="13">
        <v>14</v>
      </c>
      <c r="D6" s="13">
        <f t="shared" si="0"/>
        <v>7</v>
      </c>
      <c r="E6" s="6">
        <v>0.5</v>
      </c>
      <c r="F6" s="8">
        <f t="shared" si="1"/>
        <v>1274</v>
      </c>
    </row>
    <row r="7" spans="2:6">
      <c r="B7" s="2">
        <v>46088</v>
      </c>
      <c r="C7" s="13">
        <v>11</v>
      </c>
      <c r="D7" s="13">
        <f t="shared" si="0"/>
        <v>10</v>
      </c>
      <c r="E7" s="6">
        <v>1</v>
      </c>
      <c r="F7" s="8">
        <f t="shared" si="1"/>
        <v>1764</v>
      </c>
    </row>
    <row r="8" spans="2:6">
      <c r="B8" s="2">
        <v>46089</v>
      </c>
      <c r="C8" s="13">
        <v>11</v>
      </c>
      <c r="D8" s="13">
        <f t="shared" si="0"/>
        <v>10</v>
      </c>
      <c r="E8" s="6">
        <v>1</v>
      </c>
      <c r="F8" s="8">
        <f t="shared" si="1"/>
        <v>1764</v>
      </c>
    </row>
    <row r="9" spans="2:6">
      <c r="B9" s="2">
        <v>46093</v>
      </c>
      <c r="C9" s="13">
        <v>17</v>
      </c>
      <c r="D9" s="13">
        <f t="shared" si="0"/>
        <v>4</v>
      </c>
      <c r="E9" s="6">
        <v>0</v>
      </c>
      <c r="F9" s="8">
        <f t="shared" si="1"/>
        <v>784</v>
      </c>
    </row>
    <row r="10" spans="2:6">
      <c r="B10" s="2">
        <v>46094</v>
      </c>
      <c r="C10" s="13">
        <v>11</v>
      </c>
      <c r="D10" s="13">
        <f t="shared" si="0"/>
        <v>10</v>
      </c>
      <c r="E10" s="6">
        <v>1</v>
      </c>
      <c r="F10" s="8">
        <f t="shared" si="1"/>
        <v>1764</v>
      </c>
    </row>
    <row r="11" spans="2:6">
      <c r="B11" s="2">
        <v>46097</v>
      </c>
      <c r="C11" s="13">
        <v>17</v>
      </c>
      <c r="D11" s="13">
        <f t="shared" si="0"/>
        <v>4</v>
      </c>
      <c r="E11" s="6">
        <v>0</v>
      </c>
      <c r="F11" s="8">
        <f t="shared" si="1"/>
        <v>784</v>
      </c>
    </row>
    <row r="12" spans="2:6">
      <c r="B12" s="2">
        <v>46098</v>
      </c>
      <c r="C12" s="13">
        <v>17</v>
      </c>
      <c r="D12" s="13">
        <f t="shared" si="0"/>
        <v>4</v>
      </c>
      <c r="E12" s="6">
        <v>0</v>
      </c>
      <c r="F12" s="8">
        <f t="shared" si="1"/>
        <v>784</v>
      </c>
    </row>
    <row r="13" spans="2:6">
      <c r="B13" s="2">
        <v>46099</v>
      </c>
      <c r="C13" s="13">
        <v>14</v>
      </c>
      <c r="D13" s="13">
        <f t="shared" si="0"/>
        <v>7</v>
      </c>
      <c r="E13" s="6">
        <v>0.5</v>
      </c>
      <c r="F13" s="8">
        <f t="shared" si="1"/>
        <v>1274</v>
      </c>
    </row>
    <row r="14" spans="2:6">
      <c r="B14" s="2">
        <v>46101</v>
      </c>
      <c r="C14" s="13">
        <v>11</v>
      </c>
      <c r="D14" s="13">
        <f t="shared" si="0"/>
        <v>10</v>
      </c>
      <c r="E14" s="6">
        <v>1</v>
      </c>
      <c r="F14" s="8">
        <f t="shared" si="1"/>
        <v>1764</v>
      </c>
    </row>
    <row r="15" spans="2:6">
      <c r="B15" s="2">
        <v>46102</v>
      </c>
      <c r="C15" s="13">
        <v>14</v>
      </c>
      <c r="D15" s="13">
        <f t="shared" si="0"/>
        <v>7</v>
      </c>
      <c r="E15" s="6">
        <v>0.5</v>
      </c>
      <c r="F15" s="8">
        <f t="shared" si="1"/>
        <v>1274</v>
      </c>
    </row>
    <row r="16" spans="2:6">
      <c r="B16" s="2">
        <v>46103</v>
      </c>
      <c r="C16" s="13">
        <v>14</v>
      </c>
      <c r="D16" s="13">
        <f t="shared" si="0"/>
        <v>7</v>
      </c>
      <c r="E16" s="6">
        <v>0.5</v>
      </c>
      <c r="F16" s="8">
        <f t="shared" si="1"/>
        <v>1274</v>
      </c>
    </row>
    <row r="17" spans="2:6">
      <c r="B17" s="2">
        <v>46104</v>
      </c>
      <c r="C17" s="13">
        <v>14</v>
      </c>
      <c r="D17" s="13">
        <f t="shared" si="0"/>
        <v>7</v>
      </c>
      <c r="E17" s="6">
        <v>0.5</v>
      </c>
      <c r="F17" s="8">
        <f t="shared" si="1"/>
        <v>1274</v>
      </c>
    </row>
    <row r="18" spans="2:6">
      <c r="B18" s="2">
        <v>46106</v>
      </c>
      <c r="C18" s="13">
        <v>17</v>
      </c>
      <c r="D18" s="13">
        <f t="shared" si="0"/>
        <v>4</v>
      </c>
      <c r="E18" s="6">
        <v>0</v>
      </c>
      <c r="F18" s="8">
        <f t="shared" si="1"/>
        <v>784</v>
      </c>
    </row>
    <row r="19" spans="2:6">
      <c r="B19" s="2">
        <v>46107</v>
      </c>
      <c r="C19" s="13">
        <v>14</v>
      </c>
      <c r="D19" s="13">
        <f t="shared" si="0"/>
        <v>7</v>
      </c>
      <c r="E19" s="6">
        <v>0.5</v>
      </c>
      <c r="F19" s="8">
        <f t="shared" si="1"/>
        <v>1274</v>
      </c>
    </row>
    <row r="20" spans="2:6">
      <c r="B20" s="2">
        <v>46108</v>
      </c>
      <c r="C20" s="13">
        <v>14</v>
      </c>
      <c r="D20" s="13">
        <f t="shared" si="0"/>
        <v>7</v>
      </c>
      <c r="E20" s="6">
        <v>0.5</v>
      </c>
      <c r="F20" s="8">
        <f t="shared" si="1"/>
        <v>1274</v>
      </c>
    </row>
    <row r="21" spans="2:6">
      <c r="B21" s="2">
        <v>46110</v>
      </c>
      <c r="C21" s="13">
        <v>14</v>
      </c>
      <c r="D21" s="13">
        <f t="shared" si="0"/>
        <v>7</v>
      </c>
      <c r="E21" s="6">
        <v>0.5</v>
      </c>
      <c r="F21" s="8">
        <f t="shared" si="1"/>
        <v>1274</v>
      </c>
    </row>
    <row r="22" spans="2:6">
      <c r="B22" s="2">
        <v>46111</v>
      </c>
      <c r="C22" s="13">
        <v>17</v>
      </c>
      <c r="D22" s="13">
        <f t="shared" si="0"/>
        <v>4</v>
      </c>
      <c r="E22" s="13">
        <v>0</v>
      </c>
      <c r="F22" s="8">
        <f t="shared" si="1"/>
        <v>784</v>
      </c>
    </row>
    <row r="23" spans="2:6">
      <c r="B23" s="4">
        <f>COUNT(B3:B22)</f>
        <v>20</v>
      </c>
      <c r="C23" s="3" t="s">
        <v>5</v>
      </c>
      <c r="D23" s="7">
        <f>SUM(D3:D22)</f>
        <v>137</v>
      </c>
      <c r="E23" s="11">
        <f t="shared" ref="E23:F23" si="2">SUM(E3:E22)</f>
        <v>9.5</v>
      </c>
      <c r="F23" s="8">
        <f t="shared" si="2"/>
        <v>24990</v>
      </c>
    </row>
  </sheetData>
  <mergeCells count="1">
    <mergeCell ref="B1:F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F21"/>
  <sheetViews>
    <sheetView workbookViewId="0">
      <selection activeCell="F21" sqref="F21"/>
    </sheetView>
  </sheetViews>
  <sheetFormatPr defaultRowHeight="16.2"/>
  <cols>
    <col min="1" max="1" width="2.77734375" customWidth="1"/>
    <col min="2" max="3" width="13.33203125" customWidth="1"/>
    <col min="4" max="6" width="10" customWidth="1"/>
  </cols>
  <sheetData>
    <row r="1" spans="2:6">
      <c r="B1" s="21" t="s">
        <v>11</v>
      </c>
      <c r="C1" s="21"/>
      <c r="D1" s="21"/>
      <c r="E1" s="21"/>
      <c r="F1" s="21"/>
    </row>
    <row r="2" spans="2:6">
      <c r="B2" s="9" t="s">
        <v>4</v>
      </c>
      <c r="C2" s="9" t="s">
        <v>3</v>
      </c>
      <c r="D2" s="9" t="s">
        <v>0</v>
      </c>
      <c r="E2" s="9" t="s">
        <v>1</v>
      </c>
      <c r="F2" s="9" t="s">
        <v>2</v>
      </c>
    </row>
    <row r="3" spans="2:6">
      <c r="B3" s="2">
        <v>46115</v>
      </c>
      <c r="C3" s="12">
        <v>17</v>
      </c>
      <c r="D3" s="12">
        <f t="shared" ref="D3:D16" si="0">21-C3</f>
        <v>4</v>
      </c>
      <c r="E3" s="12">
        <v>0</v>
      </c>
      <c r="F3" s="8">
        <f t="shared" ref="F3:F16" si="1">(D3-E3)*196</f>
        <v>784</v>
      </c>
    </row>
    <row r="4" spans="2:6">
      <c r="B4" s="2">
        <v>46119</v>
      </c>
      <c r="C4" s="12">
        <v>17</v>
      </c>
      <c r="D4" s="12">
        <f t="shared" si="0"/>
        <v>4</v>
      </c>
      <c r="E4" s="12">
        <v>0</v>
      </c>
      <c r="F4" s="8">
        <f t="shared" si="1"/>
        <v>784</v>
      </c>
    </row>
    <row r="5" spans="2:6">
      <c r="B5" s="2">
        <v>46120</v>
      </c>
      <c r="C5" s="12">
        <v>11</v>
      </c>
      <c r="D5" s="12">
        <f t="shared" si="0"/>
        <v>10</v>
      </c>
      <c r="E5" s="12">
        <v>1</v>
      </c>
      <c r="F5" s="8">
        <f t="shared" si="1"/>
        <v>1764</v>
      </c>
    </row>
    <row r="6" spans="2:6">
      <c r="B6" s="2">
        <v>46121</v>
      </c>
      <c r="C6" s="12">
        <v>17</v>
      </c>
      <c r="D6" s="12">
        <f t="shared" si="0"/>
        <v>4</v>
      </c>
      <c r="E6" s="12">
        <v>0</v>
      </c>
      <c r="F6" s="8">
        <f t="shared" si="1"/>
        <v>784</v>
      </c>
    </row>
    <row r="7" spans="2:6">
      <c r="B7" s="2">
        <v>46123</v>
      </c>
      <c r="C7" s="12">
        <v>14</v>
      </c>
      <c r="D7" s="12">
        <f t="shared" si="0"/>
        <v>7</v>
      </c>
      <c r="E7" s="6">
        <v>0.5</v>
      </c>
      <c r="F7" s="8">
        <f t="shared" si="1"/>
        <v>1274</v>
      </c>
    </row>
    <row r="8" spans="2:6">
      <c r="B8" s="2">
        <v>46124</v>
      </c>
      <c r="C8" s="12">
        <v>14</v>
      </c>
      <c r="D8" s="12">
        <f t="shared" si="0"/>
        <v>7</v>
      </c>
      <c r="E8" s="6">
        <v>0.5</v>
      </c>
      <c r="F8" s="8">
        <f t="shared" si="1"/>
        <v>1274</v>
      </c>
    </row>
    <row r="9" spans="2:6">
      <c r="B9" s="2">
        <v>46125</v>
      </c>
      <c r="C9" s="12">
        <v>17</v>
      </c>
      <c r="D9" s="12">
        <f t="shared" si="0"/>
        <v>4</v>
      </c>
      <c r="E9" s="6">
        <v>0</v>
      </c>
      <c r="F9" s="8">
        <f t="shared" si="1"/>
        <v>784</v>
      </c>
    </row>
    <row r="10" spans="2:6">
      <c r="B10" s="2">
        <v>46128</v>
      </c>
      <c r="C10" s="12">
        <v>14</v>
      </c>
      <c r="D10" s="12">
        <f t="shared" si="0"/>
        <v>7</v>
      </c>
      <c r="E10" s="12">
        <v>0.5</v>
      </c>
      <c r="F10" s="8">
        <f t="shared" si="1"/>
        <v>1274</v>
      </c>
    </row>
    <row r="11" spans="2:6">
      <c r="B11" s="2">
        <v>46129</v>
      </c>
      <c r="C11" s="12">
        <v>17</v>
      </c>
      <c r="D11" s="12">
        <f t="shared" si="0"/>
        <v>4</v>
      </c>
      <c r="E11" s="12">
        <v>0</v>
      </c>
      <c r="F11" s="8">
        <f t="shared" si="1"/>
        <v>784</v>
      </c>
    </row>
    <row r="12" spans="2:6">
      <c r="B12" s="2">
        <v>46130</v>
      </c>
      <c r="C12" s="12">
        <v>14</v>
      </c>
      <c r="D12" s="12">
        <f t="shared" si="0"/>
        <v>7</v>
      </c>
      <c r="E12" s="6">
        <v>0.5</v>
      </c>
      <c r="F12" s="8">
        <f t="shared" si="1"/>
        <v>1274</v>
      </c>
    </row>
    <row r="13" spans="2:6">
      <c r="B13" s="2">
        <v>46132</v>
      </c>
      <c r="C13" s="12">
        <v>14</v>
      </c>
      <c r="D13" s="12">
        <f t="shared" si="0"/>
        <v>7</v>
      </c>
      <c r="E13" s="6">
        <v>0.5</v>
      </c>
      <c r="F13" s="8">
        <f t="shared" si="1"/>
        <v>1274</v>
      </c>
    </row>
    <row r="14" spans="2:6">
      <c r="B14" s="2">
        <v>46133</v>
      </c>
      <c r="C14" s="12">
        <v>17</v>
      </c>
      <c r="D14" s="12">
        <f t="shared" si="0"/>
        <v>4</v>
      </c>
      <c r="E14" s="12">
        <v>0</v>
      </c>
      <c r="F14" s="8">
        <f t="shared" si="1"/>
        <v>784</v>
      </c>
    </row>
    <row r="15" spans="2:6">
      <c r="B15" s="2">
        <v>46134</v>
      </c>
      <c r="C15" s="12">
        <v>17</v>
      </c>
      <c r="D15" s="12">
        <f t="shared" si="0"/>
        <v>4</v>
      </c>
      <c r="E15" s="12">
        <v>0</v>
      </c>
      <c r="F15" s="8">
        <f t="shared" si="1"/>
        <v>784</v>
      </c>
    </row>
    <row r="16" spans="2:6">
      <c r="B16" s="2">
        <v>46135</v>
      </c>
      <c r="C16" s="12">
        <v>14</v>
      </c>
      <c r="D16" s="12">
        <f t="shared" si="0"/>
        <v>7</v>
      </c>
      <c r="E16" s="6">
        <v>0.5</v>
      </c>
      <c r="F16" s="8">
        <f t="shared" si="1"/>
        <v>1274</v>
      </c>
    </row>
    <row r="17" spans="2:6">
      <c r="B17" s="2">
        <v>46137</v>
      </c>
      <c r="C17" s="14">
        <v>17</v>
      </c>
      <c r="D17" s="14">
        <f t="shared" ref="D17:D20" si="2">21-C17</f>
        <v>4</v>
      </c>
      <c r="E17" s="14">
        <v>0</v>
      </c>
      <c r="F17" s="8">
        <f t="shared" ref="F17:F20" si="3">(D17-E17)*196</f>
        <v>784</v>
      </c>
    </row>
    <row r="18" spans="2:6">
      <c r="B18" s="2">
        <v>46138</v>
      </c>
      <c r="C18" s="14">
        <v>13</v>
      </c>
      <c r="D18" s="14">
        <f t="shared" si="2"/>
        <v>8</v>
      </c>
      <c r="E18" s="14">
        <v>0.5</v>
      </c>
      <c r="F18" s="8">
        <f t="shared" si="3"/>
        <v>1470</v>
      </c>
    </row>
    <row r="19" spans="2:6">
      <c r="B19" s="2">
        <v>46140</v>
      </c>
      <c r="C19" s="14">
        <v>13</v>
      </c>
      <c r="D19" s="14">
        <f t="shared" si="2"/>
        <v>8</v>
      </c>
      <c r="E19" s="6">
        <v>0.5</v>
      </c>
      <c r="F19" s="8">
        <f t="shared" si="3"/>
        <v>1470</v>
      </c>
    </row>
    <row r="20" spans="2:6">
      <c r="B20" s="2">
        <v>46141</v>
      </c>
      <c r="C20" s="12">
        <v>17</v>
      </c>
      <c r="D20" s="12">
        <f t="shared" si="2"/>
        <v>4</v>
      </c>
      <c r="E20" s="12">
        <v>0</v>
      </c>
      <c r="F20" s="8">
        <f t="shared" si="3"/>
        <v>784</v>
      </c>
    </row>
    <row r="21" spans="2:6">
      <c r="B21" s="4">
        <f>COUNT(B3:B20)</f>
        <v>18</v>
      </c>
      <c r="C21" s="3" t="s">
        <v>5</v>
      </c>
      <c r="D21" s="9">
        <f>SUM(D3:D20)</f>
        <v>104</v>
      </c>
      <c r="E21" s="12">
        <f>SUM(E3:E20)</f>
        <v>5</v>
      </c>
      <c r="F21" s="8">
        <f>SUM(F3:F20)</f>
        <v>19404</v>
      </c>
    </row>
  </sheetData>
  <mergeCells count="1">
    <mergeCell ref="B1:F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1:F16"/>
  <sheetViews>
    <sheetView workbookViewId="0">
      <selection activeCell="F16" sqref="F16"/>
    </sheetView>
  </sheetViews>
  <sheetFormatPr defaultRowHeight="16.2"/>
  <cols>
    <col min="1" max="1" width="2.77734375" customWidth="1"/>
    <col min="2" max="3" width="13.33203125" customWidth="1"/>
    <col min="4" max="6" width="10" customWidth="1"/>
  </cols>
  <sheetData>
    <row r="1" spans="2:6">
      <c r="B1" s="21" t="s">
        <v>12</v>
      </c>
      <c r="C1" s="21"/>
      <c r="D1" s="21"/>
      <c r="E1" s="21"/>
      <c r="F1" s="21"/>
    </row>
    <row r="2" spans="2:6">
      <c r="B2" s="10" t="s">
        <v>4</v>
      </c>
      <c r="C2" s="10" t="s">
        <v>3</v>
      </c>
      <c r="D2" s="10" t="s">
        <v>0</v>
      </c>
      <c r="E2" s="10" t="s">
        <v>1</v>
      </c>
      <c r="F2" s="10" t="s">
        <v>2</v>
      </c>
    </row>
    <row r="3" spans="2:6">
      <c r="B3" s="2">
        <v>46144</v>
      </c>
      <c r="C3" s="14">
        <v>13</v>
      </c>
      <c r="D3" s="14">
        <f t="shared" ref="D3:D15" si="0">21-C3</f>
        <v>8</v>
      </c>
      <c r="E3" s="14">
        <v>0.5</v>
      </c>
      <c r="F3" s="8">
        <f t="shared" ref="F3:F15" si="1">(D3-E3)*196</f>
        <v>1470</v>
      </c>
    </row>
    <row r="4" spans="2:6">
      <c r="B4" s="2">
        <v>46145</v>
      </c>
      <c r="C4" s="10">
        <v>13</v>
      </c>
      <c r="D4" s="14">
        <f t="shared" si="0"/>
        <v>8</v>
      </c>
      <c r="E4" s="15">
        <v>0.5</v>
      </c>
      <c r="F4" s="8">
        <f t="shared" si="1"/>
        <v>1470</v>
      </c>
    </row>
    <row r="5" spans="2:6">
      <c r="B5" s="2">
        <v>46146</v>
      </c>
      <c r="C5" s="14">
        <v>13</v>
      </c>
      <c r="D5" s="14">
        <f t="shared" si="0"/>
        <v>8</v>
      </c>
      <c r="E5" s="15">
        <v>0.5</v>
      </c>
      <c r="F5" s="8">
        <f t="shared" si="1"/>
        <v>1470</v>
      </c>
    </row>
    <row r="6" spans="2:6">
      <c r="B6" s="2">
        <v>46148</v>
      </c>
      <c r="C6" s="14">
        <v>17</v>
      </c>
      <c r="D6" s="14">
        <f t="shared" si="0"/>
        <v>4</v>
      </c>
      <c r="E6" s="6">
        <v>0</v>
      </c>
      <c r="F6" s="8">
        <f t="shared" si="1"/>
        <v>784</v>
      </c>
    </row>
    <row r="7" spans="2:6">
      <c r="B7" s="2">
        <v>46151</v>
      </c>
      <c r="C7" s="14">
        <v>11</v>
      </c>
      <c r="D7" s="14">
        <f t="shared" si="0"/>
        <v>10</v>
      </c>
      <c r="E7" s="6">
        <v>1</v>
      </c>
      <c r="F7" s="8">
        <f t="shared" si="1"/>
        <v>1764</v>
      </c>
    </row>
    <row r="8" spans="2:6">
      <c r="B8" s="2">
        <v>46152</v>
      </c>
      <c r="C8" s="14">
        <v>11</v>
      </c>
      <c r="D8" s="14">
        <f t="shared" si="0"/>
        <v>10</v>
      </c>
      <c r="E8" s="6">
        <v>1</v>
      </c>
      <c r="F8" s="8">
        <f t="shared" si="1"/>
        <v>1764</v>
      </c>
    </row>
    <row r="9" spans="2:6">
      <c r="B9" s="2">
        <v>46158</v>
      </c>
      <c r="C9" s="14">
        <v>13</v>
      </c>
      <c r="D9" s="14">
        <f t="shared" si="0"/>
        <v>8</v>
      </c>
      <c r="E9" s="15">
        <v>0.5</v>
      </c>
      <c r="F9" s="8">
        <f t="shared" si="1"/>
        <v>1470</v>
      </c>
    </row>
    <row r="10" spans="2:6">
      <c r="B10" s="2">
        <v>46159</v>
      </c>
      <c r="C10" s="14">
        <v>13</v>
      </c>
      <c r="D10" s="14">
        <f t="shared" si="0"/>
        <v>8</v>
      </c>
      <c r="E10" s="15">
        <v>0.5</v>
      </c>
      <c r="F10" s="8">
        <f t="shared" si="1"/>
        <v>1470</v>
      </c>
    </row>
    <row r="11" spans="2:6">
      <c r="B11" s="2">
        <v>46163</v>
      </c>
      <c r="C11" s="14">
        <v>15</v>
      </c>
      <c r="D11" s="14">
        <f t="shared" si="0"/>
        <v>6</v>
      </c>
      <c r="E11" s="6">
        <v>0.5</v>
      </c>
      <c r="F11" s="8">
        <f t="shared" si="1"/>
        <v>1078</v>
      </c>
    </row>
    <row r="12" spans="2:6">
      <c r="B12" s="2">
        <v>46164</v>
      </c>
      <c r="C12" s="14">
        <v>17</v>
      </c>
      <c r="D12" s="14">
        <f t="shared" si="0"/>
        <v>4</v>
      </c>
      <c r="E12" s="6">
        <v>0</v>
      </c>
      <c r="F12" s="8">
        <f t="shared" si="1"/>
        <v>784</v>
      </c>
    </row>
    <row r="13" spans="2:6">
      <c r="B13" s="2">
        <v>46169</v>
      </c>
      <c r="C13" s="16">
        <v>13</v>
      </c>
      <c r="D13" s="16">
        <f t="shared" ref="D13:D14" si="2">21-C13</f>
        <v>8</v>
      </c>
      <c r="E13" s="16">
        <v>0.5</v>
      </c>
      <c r="F13" s="8">
        <f t="shared" ref="F13:F14" si="3">(D13-E13)*196</f>
        <v>1470</v>
      </c>
    </row>
    <row r="14" spans="2:6">
      <c r="B14" s="2">
        <v>46171</v>
      </c>
      <c r="C14" s="18">
        <v>13</v>
      </c>
      <c r="D14" s="18">
        <f t="shared" si="2"/>
        <v>8</v>
      </c>
      <c r="E14" s="18">
        <v>0.5</v>
      </c>
      <c r="F14" s="8">
        <f t="shared" si="3"/>
        <v>1470</v>
      </c>
    </row>
    <row r="15" spans="2:6">
      <c r="B15" s="2">
        <v>46172</v>
      </c>
      <c r="C15" s="14">
        <v>11</v>
      </c>
      <c r="D15" s="14">
        <f t="shared" si="0"/>
        <v>10</v>
      </c>
      <c r="E15" s="15">
        <v>1</v>
      </c>
      <c r="F15" s="8">
        <f t="shared" si="1"/>
        <v>1764</v>
      </c>
    </row>
    <row r="16" spans="2:6">
      <c r="B16" s="4">
        <f>COUNT(B3:B15)</f>
        <v>13</v>
      </c>
      <c r="C16" s="3" t="s">
        <v>5</v>
      </c>
      <c r="D16" s="10">
        <f>SUM(D3:D15)</f>
        <v>100</v>
      </c>
      <c r="E16" s="14">
        <f t="shared" ref="E16:F16" si="4">SUM(E3:E15)</f>
        <v>7</v>
      </c>
      <c r="F16" s="8">
        <f t="shared" si="4"/>
        <v>18228</v>
      </c>
    </row>
  </sheetData>
  <mergeCells count="1">
    <mergeCell ref="B1:F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1:F20"/>
  <sheetViews>
    <sheetView tabSelected="1" workbookViewId="0">
      <selection activeCell="F20" sqref="F20"/>
    </sheetView>
  </sheetViews>
  <sheetFormatPr defaultRowHeight="16.2"/>
  <cols>
    <col min="1" max="1" width="2.77734375" customWidth="1"/>
    <col min="2" max="3" width="13.33203125" customWidth="1"/>
    <col min="4" max="6" width="10" customWidth="1"/>
  </cols>
  <sheetData>
    <row r="1" spans="2:6">
      <c r="B1" s="21" t="s">
        <v>13</v>
      </c>
      <c r="C1" s="21"/>
      <c r="D1" s="21"/>
      <c r="E1" s="21"/>
      <c r="F1" s="21"/>
    </row>
    <row r="2" spans="2:6">
      <c r="B2" s="14" t="s">
        <v>4</v>
      </c>
      <c r="C2" s="14" t="s">
        <v>3</v>
      </c>
      <c r="D2" s="14" t="s">
        <v>0</v>
      </c>
      <c r="E2" s="14" t="s">
        <v>1</v>
      </c>
      <c r="F2" s="14" t="s">
        <v>2</v>
      </c>
    </row>
    <row r="3" spans="2:6">
      <c r="B3" s="2">
        <v>46175</v>
      </c>
      <c r="C3" s="17">
        <v>13</v>
      </c>
      <c r="D3" s="17">
        <f t="shared" ref="D3" si="0">21-C3</f>
        <v>8</v>
      </c>
      <c r="E3" s="17">
        <v>0.5</v>
      </c>
      <c r="F3" s="8">
        <f t="shared" ref="F3" si="1">(D3-E3)*196</f>
        <v>1470</v>
      </c>
    </row>
    <row r="4" spans="2:6">
      <c r="B4" s="2">
        <v>46178</v>
      </c>
      <c r="C4" s="14">
        <v>17</v>
      </c>
      <c r="D4" s="14">
        <f t="shared" ref="D4:D19" si="2">21-C4</f>
        <v>4</v>
      </c>
      <c r="E4" s="6">
        <v>0</v>
      </c>
      <c r="F4" s="8">
        <f t="shared" ref="F4:F19" si="3">(D4-E4)*196</f>
        <v>784</v>
      </c>
    </row>
    <row r="5" spans="2:6">
      <c r="B5" s="2">
        <v>46179</v>
      </c>
      <c r="C5" s="14">
        <v>13</v>
      </c>
      <c r="D5" s="14">
        <f t="shared" si="2"/>
        <v>8</v>
      </c>
      <c r="E5" s="6">
        <v>0.5</v>
      </c>
      <c r="F5" s="8">
        <f t="shared" si="3"/>
        <v>1470</v>
      </c>
    </row>
    <row r="6" spans="2:6">
      <c r="B6" s="2">
        <v>46181</v>
      </c>
      <c r="C6" s="14">
        <v>17</v>
      </c>
      <c r="D6" s="19">
        <f t="shared" si="2"/>
        <v>4</v>
      </c>
      <c r="E6" s="6">
        <v>0</v>
      </c>
      <c r="F6" s="8">
        <f t="shared" si="3"/>
        <v>784</v>
      </c>
    </row>
    <row r="7" spans="2:6">
      <c r="B7" s="2">
        <v>46182</v>
      </c>
      <c r="C7" s="14">
        <v>17</v>
      </c>
      <c r="D7" s="19">
        <f t="shared" si="2"/>
        <v>4</v>
      </c>
      <c r="E7" s="6">
        <v>0</v>
      </c>
      <c r="F7" s="8">
        <f t="shared" si="3"/>
        <v>784</v>
      </c>
    </row>
    <row r="8" spans="2:6">
      <c r="B8" s="2">
        <v>46186</v>
      </c>
      <c r="C8" s="14">
        <v>15</v>
      </c>
      <c r="D8" s="14">
        <f t="shared" si="2"/>
        <v>6</v>
      </c>
      <c r="E8" s="6">
        <v>0.5</v>
      </c>
      <c r="F8" s="8">
        <f t="shared" si="3"/>
        <v>1078</v>
      </c>
    </row>
    <row r="9" spans="2:6">
      <c r="B9" s="2">
        <v>46187</v>
      </c>
      <c r="C9" s="14">
        <v>15</v>
      </c>
      <c r="D9" s="14">
        <f t="shared" si="2"/>
        <v>6</v>
      </c>
      <c r="E9" s="6">
        <v>0.5</v>
      </c>
      <c r="F9" s="8">
        <f t="shared" si="3"/>
        <v>1078</v>
      </c>
    </row>
    <row r="10" spans="2:6">
      <c r="B10" s="2">
        <v>46188</v>
      </c>
      <c r="C10" s="14">
        <v>17</v>
      </c>
      <c r="D10" s="14">
        <f t="shared" si="2"/>
        <v>4</v>
      </c>
      <c r="E10" s="6">
        <v>0</v>
      </c>
      <c r="F10" s="8">
        <f t="shared" si="3"/>
        <v>784</v>
      </c>
    </row>
    <row r="11" spans="2:6">
      <c r="B11" s="2">
        <v>46190</v>
      </c>
      <c r="C11" s="14">
        <v>17</v>
      </c>
      <c r="D11" s="14">
        <f t="shared" si="2"/>
        <v>4</v>
      </c>
      <c r="E11" s="6">
        <v>0</v>
      </c>
      <c r="F11" s="8">
        <f t="shared" si="3"/>
        <v>784</v>
      </c>
    </row>
    <row r="12" spans="2:6">
      <c r="B12" s="2">
        <v>46191</v>
      </c>
      <c r="C12" s="14">
        <v>11</v>
      </c>
      <c r="D12" s="14">
        <f t="shared" si="2"/>
        <v>10</v>
      </c>
      <c r="E12" s="6">
        <v>1</v>
      </c>
      <c r="F12" s="8">
        <f t="shared" si="3"/>
        <v>1764</v>
      </c>
    </row>
    <row r="13" spans="2:6">
      <c r="B13" s="2">
        <v>46195</v>
      </c>
      <c r="C13" s="14">
        <v>17</v>
      </c>
      <c r="D13" s="14">
        <f t="shared" si="2"/>
        <v>4</v>
      </c>
      <c r="E13" s="6">
        <v>0</v>
      </c>
      <c r="F13" s="8">
        <f t="shared" si="3"/>
        <v>784</v>
      </c>
    </row>
    <row r="14" spans="2:6">
      <c r="B14" s="2">
        <v>46196</v>
      </c>
      <c r="C14" s="14">
        <v>11</v>
      </c>
      <c r="D14" s="14">
        <f t="shared" si="2"/>
        <v>10</v>
      </c>
      <c r="E14" s="6">
        <v>1</v>
      </c>
      <c r="F14" s="8">
        <f t="shared" si="3"/>
        <v>1764</v>
      </c>
    </row>
    <row r="15" spans="2:6">
      <c r="B15" s="2">
        <v>46197</v>
      </c>
      <c r="C15" s="14">
        <v>11</v>
      </c>
      <c r="D15" s="14">
        <f t="shared" si="2"/>
        <v>10</v>
      </c>
      <c r="E15" s="6">
        <v>1</v>
      </c>
      <c r="F15" s="8">
        <f t="shared" si="3"/>
        <v>1764</v>
      </c>
    </row>
    <row r="16" spans="2:6">
      <c r="B16" s="2">
        <v>46199</v>
      </c>
      <c r="C16" s="19">
        <v>17</v>
      </c>
      <c r="D16" s="19">
        <f t="shared" si="2"/>
        <v>4</v>
      </c>
      <c r="E16" s="6">
        <v>0</v>
      </c>
      <c r="F16" s="8">
        <f t="shared" si="3"/>
        <v>784</v>
      </c>
    </row>
    <row r="17" spans="2:6">
      <c r="B17" s="2">
        <v>46200</v>
      </c>
      <c r="C17" s="19">
        <v>15</v>
      </c>
      <c r="D17" s="19">
        <f t="shared" si="2"/>
        <v>6</v>
      </c>
      <c r="E17" s="6">
        <v>0.5</v>
      </c>
      <c r="F17" s="8">
        <f t="shared" si="3"/>
        <v>1078</v>
      </c>
    </row>
    <row r="18" spans="2:6">
      <c r="B18" s="2">
        <v>46201</v>
      </c>
      <c r="C18" s="19">
        <v>15</v>
      </c>
      <c r="D18" s="19">
        <f t="shared" si="2"/>
        <v>6</v>
      </c>
      <c r="E18" s="6">
        <v>0.5</v>
      </c>
      <c r="F18" s="8">
        <f t="shared" si="3"/>
        <v>1078</v>
      </c>
    </row>
    <row r="19" spans="2:6">
      <c r="B19" s="2">
        <v>46202</v>
      </c>
      <c r="C19" s="19">
        <v>11</v>
      </c>
      <c r="D19" s="19">
        <f t="shared" si="2"/>
        <v>10</v>
      </c>
      <c r="E19" s="6">
        <v>1</v>
      </c>
      <c r="F19" s="8">
        <f t="shared" si="3"/>
        <v>1764</v>
      </c>
    </row>
    <row r="20" spans="2:6">
      <c r="B20" s="4">
        <f>COUNT(B3:B19)</f>
        <v>17</v>
      </c>
      <c r="C20" s="3" t="s">
        <v>5</v>
      </c>
      <c r="D20" s="14">
        <f>SUM(D3:D19)</f>
        <v>108</v>
      </c>
      <c r="E20" s="14">
        <f>SUM(E3:E19)</f>
        <v>7</v>
      </c>
      <c r="F20" s="8">
        <f>SUM(F3:F19)</f>
        <v>19796</v>
      </c>
    </row>
  </sheetData>
  <mergeCells count="1">
    <mergeCell ref="B1:F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1:F20"/>
  <sheetViews>
    <sheetView workbookViewId="0">
      <selection activeCell="F20" sqref="F20"/>
    </sheetView>
  </sheetViews>
  <sheetFormatPr defaultRowHeight="16.2"/>
  <cols>
    <col min="1" max="1" width="2.77734375" customWidth="1"/>
    <col min="2" max="3" width="13.33203125" customWidth="1"/>
    <col min="4" max="6" width="10" customWidth="1"/>
  </cols>
  <sheetData>
    <row r="1" spans="2:6">
      <c r="B1" s="21" t="s">
        <v>14</v>
      </c>
      <c r="C1" s="21"/>
      <c r="D1" s="21"/>
      <c r="E1" s="21"/>
      <c r="F1" s="21"/>
    </row>
    <row r="2" spans="2:6">
      <c r="B2" s="19" t="s">
        <v>4</v>
      </c>
      <c r="C2" s="19" t="s">
        <v>3</v>
      </c>
      <c r="D2" s="19" t="s">
        <v>0</v>
      </c>
      <c r="E2" s="19" t="s">
        <v>1</v>
      </c>
      <c r="F2" s="19" t="s">
        <v>2</v>
      </c>
    </row>
    <row r="3" spans="2:6">
      <c r="B3" s="2">
        <v>46205</v>
      </c>
      <c r="C3" s="19">
        <v>15</v>
      </c>
      <c r="D3" s="19">
        <f t="shared" ref="D3:D5" si="0">21-C3</f>
        <v>6</v>
      </c>
      <c r="E3" s="19">
        <v>0.5</v>
      </c>
      <c r="F3" s="8">
        <f t="shared" ref="F3:F5" si="1">(D3-E3)*196</f>
        <v>1078</v>
      </c>
    </row>
    <row r="4" spans="2:6">
      <c r="B4" s="2">
        <v>46206</v>
      </c>
      <c r="C4" s="19">
        <v>11</v>
      </c>
      <c r="D4" s="19">
        <f t="shared" si="0"/>
        <v>10</v>
      </c>
      <c r="E4" s="6">
        <v>1</v>
      </c>
      <c r="F4" s="8">
        <f t="shared" si="1"/>
        <v>1764</v>
      </c>
    </row>
    <row r="5" spans="2:6">
      <c r="B5" s="2">
        <v>46207</v>
      </c>
      <c r="C5" s="19">
        <v>15</v>
      </c>
      <c r="D5" s="19">
        <f t="shared" si="0"/>
        <v>6</v>
      </c>
      <c r="E5" s="19">
        <v>0.5</v>
      </c>
      <c r="F5" s="8">
        <f t="shared" si="1"/>
        <v>1078</v>
      </c>
    </row>
    <row r="6" spans="2:6">
      <c r="B6" s="2"/>
      <c r="C6" s="19"/>
      <c r="D6" s="19"/>
      <c r="E6" s="6"/>
      <c r="F6" s="8"/>
    </row>
    <row r="7" spans="2:6">
      <c r="B7" s="2"/>
      <c r="C7" s="19"/>
      <c r="D7" s="19"/>
      <c r="E7" s="6"/>
      <c r="F7" s="8"/>
    </row>
    <row r="8" spans="2:6">
      <c r="B8" s="2"/>
      <c r="C8" s="19"/>
      <c r="D8" s="19"/>
      <c r="E8" s="6"/>
      <c r="F8" s="8"/>
    </row>
    <row r="9" spans="2:6">
      <c r="B9" s="2"/>
      <c r="C9" s="19"/>
      <c r="D9" s="19"/>
      <c r="E9" s="6"/>
      <c r="F9" s="8"/>
    </row>
    <row r="10" spans="2:6">
      <c r="B10" s="2"/>
      <c r="C10" s="19"/>
      <c r="D10" s="19"/>
      <c r="E10" s="6"/>
      <c r="F10" s="8"/>
    </row>
    <row r="11" spans="2:6">
      <c r="B11" s="2"/>
      <c r="C11" s="19"/>
      <c r="D11" s="19"/>
      <c r="E11" s="6"/>
      <c r="F11" s="8"/>
    </row>
    <row r="12" spans="2:6">
      <c r="B12" s="2"/>
      <c r="C12" s="19"/>
      <c r="D12" s="19"/>
      <c r="E12" s="6"/>
      <c r="F12" s="8"/>
    </row>
    <row r="13" spans="2:6">
      <c r="B13" s="2"/>
      <c r="C13" s="19"/>
      <c r="D13" s="19"/>
      <c r="E13" s="6"/>
      <c r="F13" s="8"/>
    </row>
    <row r="14" spans="2:6">
      <c r="B14" s="2"/>
      <c r="C14" s="19"/>
      <c r="D14" s="19"/>
      <c r="E14" s="6"/>
      <c r="F14" s="8"/>
    </row>
    <row r="15" spans="2:6">
      <c r="B15" s="2"/>
      <c r="C15" s="19"/>
      <c r="D15" s="19"/>
      <c r="E15" s="6"/>
      <c r="F15" s="8"/>
    </row>
    <row r="16" spans="2:6">
      <c r="B16" s="2"/>
      <c r="C16" s="19"/>
      <c r="D16" s="19"/>
      <c r="E16" s="6"/>
      <c r="F16" s="8"/>
    </row>
    <row r="17" spans="2:6">
      <c r="B17" s="2"/>
      <c r="C17" s="19"/>
      <c r="D17" s="19"/>
      <c r="E17" s="6"/>
      <c r="F17" s="8"/>
    </row>
    <row r="18" spans="2:6">
      <c r="B18" s="2"/>
      <c r="C18" s="19"/>
      <c r="D18" s="19"/>
      <c r="E18" s="6"/>
      <c r="F18" s="8"/>
    </row>
    <row r="19" spans="2:6">
      <c r="B19" s="2"/>
      <c r="C19" s="19"/>
      <c r="D19" s="19"/>
      <c r="E19" s="6"/>
      <c r="F19" s="8"/>
    </row>
    <row r="20" spans="2:6">
      <c r="B20" s="4">
        <f>COUNT(B3:B19)</f>
        <v>3</v>
      </c>
      <c r="C20" s="3" t="s">
        <v>5</v>
      </c>
      <c r="D20" s="19">
        <f>SUM(D3:D19)</f>
        <v>22</v>
      </c>
      <c r="E20" s="19">
        <f>SUM(E3:E19)</f>
        <v>2</v>
      </c>
      <c r="F20" s="8">
        <f>SUM(F3:F19)</f>
        <v>3920</v>
      </c>
    </row>
  </sheetData>
  <mergeCells count="1">
    <mergeCell ref="B1:F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2512</vt:lpstr>
      <vt:lpstr>2601</vt:lpstr>
      <vt:lpstr>2602</vt:lpstr>
      <vt:lpstr>2603</vt:lpstr>
      <vt:lpstr>2604</vt:lpstr>
      <vt:lpstr>2605</vt:lpstr>
      <vt:lpstr>2606</vt:lpstr>
      <vt:lpstr>2607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2026-06-05T02:27:46Z</dcterms:modified>
</cp:coreProperties>
</file>